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903d54df57a66d/Documents/"/>
    </mc:Choice>
  </mc:AlternateContent>
  <xr:revisionPtr revIDLastSave="0" documentId="8_{4D5D8C1A-B7C6-4125-895A-5FD57D3C34ED}" xr6:coauthVersionLast="47" xr6:coauthVersionMax="47" xr10:uidLastSave="{00000000-0000-0000-0000-000000000000}"/>
  <bookViews>
    <workbookView xWindow="43080" yWindow="8370" windowWidth="29040" windowHeight="15720" xr2:uid="{BC5F4E92-8A2F-430E-872D-C7763BFE7023}"/>
  </bookViews>
  <sheets>
    <sheet name="marketing_data" sheetId="1" r:id="rId1"/>
  </sheets>
  <calcPr calcId="0"/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<sst xmlns="http://schemas.openxmlformats.org/spreadsheetml/2006/main" count="21" uniqueCount="21">
  <si>
    <t>Month</t>
  </si>
  <si>
    <t>MarketingSpend</t>
  </si>
  <si>
    <t>Sales</t>
  </si>
  <si>
    <t>OrderValue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</si>
  <si>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</si>
  <si>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</si>
  <si>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</si>
  <si>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</si>
  <si>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</si>
  <si>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</si>
  <si>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</si>
  <si>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</si>
  <si>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</si>
  <si>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</si>
  <si>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</si>
  <si>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</si>
  <si>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</si>
  <si>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Median</t>
  </si>
  <si>
    <t>Standard deviation</t>
  </si>
  <si>
    <t>Max - Min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</si>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</sst>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3A54-7E53-48F9-BA46-DFFBAC4230D4}">
  <dimension ref="A1:G13"/>
  <sheetViews>
    <sheetView tabSelected="1" zoomScale="196" zoomScaleNormal="196" workbookViewId="0">
      <selection activeCell="I8" sqref="I8"/>
    </sheetView>
  </sheetViews>
  <sheetFormatPr defaultRowHeight="14.25" x14ac:dyDescent="0.45"/>
  <cols>
    <col min="1" max="1" width="6.53125" customWidth="1"/>
    <col min="2" max="2" width="12.796875" customWidth="1"/>
    <col min="3" max="3" width="6.6640625" customWidth="1"/>
    <col min="5" max="5" width="4.59765625" customWidth="1"/>
    <col min="6" max="6" width="15.9296875" customWidth="1"/>
    <col min="7" max="7" width="11.265625" bestFit="1" customWidth="1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45">
      <c r="A2" t="s">
        <v>4</v>
      </c>
      <c r="B2">
        <v>1000</v>
      </c>
      <c r="C2">
        <v>12000</v>
      </c>
      <c r="D2">
        <v>45</v>
      </c>
      <c r="F2" s="4" t="s">
        <v>16</v>
      </c>
      <c r="G2" s="2">
        <f>AVERAGE(D2:D13)</f>
        <v>87.833333333333329</v>
      </c>
    </row>
    <row r="3" spans="1:7" x14ac:dyDescent="0.45">
      <c r="A3" t="s">
        <v>5</v>
      </c>
      <c r="B3">
        <v>1200</v>
      </c>
      <c r="C3">
        <v>13500</v>
      </c>
      <c r="D3">
        <v>52</v>
      </c>
      <c r="F3" s="4" t="s">
        <v>17</v>
      </c>
      <c r="G3" s="2">
        <f>MEDIAN(D2:D13)</f>
        <v>56.5</v>
      </c>
    </row>
    <row r="4" spans="1:7" x14ac:dyDescent="0.45">
      <c r="A4" t="s">
        <v>6</v>
      </c>
      <c r="B4">
        <v>900</v>
      </c>
      <c r="C4">
        <v>11000</v>
      </c>
      <c r="D4">
        <v>38</v>
      </c>
      <c r="F4" s="5" t="s">
        <v>18</v>
      </c>
      <c r="G4" s="3">
        <f>_xlfn.STDEV.P(D2:D13)</f>
        <v>109.88011143463993</v>
      </c>
    </row>
    <row r="5" spans="1:7" x14ac:dyDescent="0.45">
      <c r="A5" t="s">
        <v>7</v>
      </c>
      <c r="B5">
        <v>1500</v>
      </c>
      <c r="C5">
        <v>16000</v>
      </c>
      <c r="D5">
        <v>60</v>
      </c>
      <c r="F5" s="4" t="s">
        <v>19</v>
      </c>
      <c r="G5" s="2">
        <f>MAX(D2:D13) - MIN(D2:D13)</f>
        <v>415</v>
      </c>
    </row>
    <row r="6" spans="1:7" x14ac:dyDescent="0.45">
      <c r="A6" t="s">
        <v>8</v>
      </c>
      <c r="B6">
        <v>1300</v>
      </c>
      <c r="C6">
        <v>14500</v>
      </c>
      <c r="D6">
        <v>55</v>
      </c>
      <c r="F6" s="4" t="s">
        <v>20</v>
      </c>
      <c r="G6" s="2">
        <f>CORREL(B2:B13, C2:C13)</f>
        <v>0.99797250663571524</v>
      </c>
    </row>
    <row r="7" spans="1:7" x14ac:dyDescent="0.45">
      <c r="A7" t="s">
        <v>9</v>
      </c>
      <c r="B7">
        <v>1100</v>
      </c>
      <c r="C7">
        <v>12500</v>
      </c>
      <c r="D7">
        <v>48</v>
      </c>
    </row>
    <row r="8" spans="1:7" x14ac:dyDescent="0.45">
      <c r="A8" t="s">
        <v>10</v>
      </c>
      <c r="B8">
        <v>1600</v>
      </c>
      <c r="C8">
        <v>17000</v>
      </c>
      <c r="D8">
        <v>63</v>
      </c>
    </row>
    <row r="9" spans="1:7" x14ac:dyDescent="0.45">
      <c r="A9" t="s">
        <v>11</v>
      </c>
      <c r="B9">
        <v>1400</v>
      </c>
      <c r="C9">
        <v>15500</v>
      </c>
      <c r="D9">
        <v>58</v>
      </c>
    </row>
    <row r="10" spans="1:7" x14ac:dyDescent="0.45">
      <c r="A10" t="s">
        <v>12</v>
      </c>
      <c r="B10">
        <v>800</v>
      </c>
      <c r="C10">
        <v>10500</v>
      </c>
      <c r="D10">
        <v>35</v>
      </c>
    </row>
    <row r="11" spans="1:7" x14ac:dyDescent="0.45">
      <c r="A11" t="s">
        <v>13</v>
      </c>
      <c r="B11">
        <v>1700</v>
      </c>
      <c r="C11">
        <v>18000</v>
      </c>
      <c r="D11">
        <v>70</v>
      </c>
    </row>
    <row r="12" spans="1:7" x14ac:dyDescent="0.45">
      <c r="A12" t="s">
        <v>14</v>
      </c>
      <c r="B12">
        <v>2000</v>
      </c>
      <c r="C12">
        <v>21000</v>
      </c>
      <c r="D12">
        <v>80</v>
      </c>
    </row>
    <row r="13" spans="1:7" x14ac:dyDescent="0.45">
      <c r="A13" t="s">
        <v>15</v>
      </c>
      <c r="B13">
        <v>2500</v>
      </c>
      <c r="C13">
        <v>26000</v>
      </c>
      <c r="D1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</dc:creator>
  <cp:lastModifiedBy>Felicia Soyinka</cp:lastModifiedBy>
  <dcterms:created xsi:type="dcterms:W3CDTF">2026-09-20T02:32:26Z</dcterms:created>
  <dcterms:modified xsi:type="dcterms:W3CDTF">2026-09-20T02:32:26Z</dcterms:modified>
</cp:coreProperties>
</file>